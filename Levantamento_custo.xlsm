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120" windowWidth="20025" windowHeight="7905"/>
  </bookViews>
  <sheets>
    <sheet name="Plan1" sheetId="1" r:id="rId1"/>
    <sheet name="Plan2" sheetId="2" r:id="rId2"/>
    <sheet name="Plan3" sheetId="3" state="hidden" r:id="rId3"/>
  </sheets>
  <calcPr calcId="145621"/>
</workbook>
</file>

<file path=xl/calcChain.xml><?xml version="1.0" encoding="utf-8"?>
<calcChain xmlns="http://schemas.openxmlformats.org/spreadsheetml/2006/main">
  <c r="C8" i="2" l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7" i="2"/>
  <c r="P31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 l="1"/>
  <c r="O31" i="2" s="1"/>
  <c r="P32" i="2" s="1"/>
  <c r="D30" i="1" l="1"/>
  <c r="E30" i="1"/>
  <c r="F30" i="1"/>
  <c r="G30" i="1"/>
  <c r="H30" i="1"/>
  <c r="I30" i="1"/>
  <c r="J30" i="1"/>
  <c r="K30" i="1"/>
  <c r="L30" i="1"/>
  <c r="M30" i="1"/>
  <c r="N30" i="1"/>
  <c r="O30" i="1"/>
  <c r="P31" i="1"/>
  <c r="C30" i="1"/>
  <c r="O31" i="1" l="1"/>
  <c r="P32" i="1" s="1"/>
</calcChain>
</file>

<file path=xl/sharedStrings.xml><?xml version="1.0" encoding="utf-8"?>
<sst xmlns="http://schemas.openxmlformats.org/spreadsheetml/2006/main" count="33" uniqueCount="17">
  <si>
    <t>Combustível</t>
  </si>
  <si>
    <t>Cimento/ Argamassas/ Clarofilito</t>
  </si>
  <si>
    <t>Despesas indiretas</t>
  </si>
  <si>
    <t>Areia</t>
  </si>
  <si>
    <t>Pedra</t>
  </si>
  <si>
    <t>Tijolo</t>
  </si>
  <si>
    <t>Geral</t>
  </si>
  <si>
    <t>Caçamba</t>
  </si>
  <si>
    <t>Hidráulica</t>
  </si>
  <si>
    <t>Elétrica</t>
  </si>
  <si>
    <t>Ipermeabilização</t>
  </si>
  <si>
    <t>Drywall</t>
  </si>
  <si>
    <t>Pintura</t>
  </si>
  <si>
    <t>Mão de obra</t>
  </si>
  <si>
    <t>Total:</t>
  </si>
  <si>
    <t>Total Geral:</t>
  </si>
  <si>
    <t>21/06 a 09/07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</si>
</sst>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R$&quot;\ 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0" fontId="0" fillId="0" borderId="10" xfId="0" applyBorder="1"/>
    <xf numFmtId="164" fontId="0" fillId="0" borderId="11" xfId="0" applyNumberFormat="1" applyBorder="1"/>
    <xf numFmtId="0" fontId="0" fillId="0" borderId="12" xfId="0" applyBorder="1"/>
    <xf numFmtId="164" fontId="0" fillId="0" borderId="3" xfId="0" applyNumberFormat="1" applyBorder="1"/>
    <xf numFmtId="0" fontId="0" fillId="0" borderId="7" xfId="0" applyBorder="1"/>
    <xf numFmtId="164" fontId="0" fillId="0" borderId="2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4" xfId="0" applyNumberForma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C4:P33"/>
  <sheetViews>
    <sheetView tabSelected="1" workbookViewId="0">
      <selection activeCell="I35" sqref="I35"/>
    </sheetView>
  </sheetViews>
  <sheetFormatPr defaultRowHeight="15" x14ac:dyDescent="0.25"/>
  <cols>
    <col min="2" max="2" width="12.7109375" customWidth="1"/>
    <col min="3" max="3" width="12.5703125" bestFit="1" customWidth="1"/>
    <col min="4" max="4" width="11.7109375" bestFit="1" customWidth="1"/>
    <col min="5" max="5" width="11" customWidth="1"/>
    <col min="6" max="6" width="0" hidden="1" customWidth="1"/>
    <col min="11" max="11" width="9.85546875" customWidth="1"/>
    <col min="12" max="14" width="10.7109375" bestFit="1" customWidth="1"/>
    <col min="15" max="16" width="11.7109375" bestFit="1" customWidth="1"/>
  </cols>
  <sheetData>
    <row r="4" spans="3:16" ht="15.75" thickBot="1" x14ac:dyDescent="0.3"/>
    <row r="5" spans="3:16" ht="49.5" customHeight="1" thickTop="1" x14ac:dyDescent="0.25">
      <c r="C5" s="1" t="s">
        <v>0</v>
      </c>
      <c r="D5" s="2" t="s">
        <v>2</v>
      </c>
      <c r="E5" s="2" t="s">
        <v>1</v>
      </c>
      <c r="F5" s="2" t="s">
        <v>3</v>
      </c>
      <c r="G5" s="2" t="s">
        <v>4</v>
      </c>
      <c r="H5" s="2" t="s">
        <v>5</v>
      </c>
      <c r="I5" s="2" t="s">
        <v>6</v>
      </c>
      <c r="J5" s="2" t="s">
        <v>7</v>
      </c>
      <c r="K5" s="2" t="s">
        <v>8</v>
      </c>
      <c r="L5" s="2" t="s">
        <v>9</v>
      </c>
      <c r="M5" s="2" t="s">
        <v>10</v>
      </c>
      <c r="N5" s="2" t="s">
        <v>11</v>
      </c>
      <c r="O5" s="2" t="s">
        <v>12</v>
      </c>
      <c r="P5" s="3" t="s">
        <v>13</v>
      </c>
    </row>
    <row r="6" spans="3:16" x14ac:dyDescent="0.25">
      <c r="C6" s="4" t="s">
        <v>16</v>
      </c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7"/>
    </row>
    <row r="7" spans="3:16" x14ac:dyDescent="0.25">
      <c r="C7" s="18">
        <v>70</v>
      </c>
      <c r="D7" s="5">
        <v>33</v>
      </c>
      <c r="E7" s="5">
        <v>34</v>
      </c>
      <c r="F7" s="5"/>
      <c r="G7" s="5"/>
      <c r="H7" s="5"/>
      <c r="I7" s="5">
        <v>6.9</v>
      </c>
      <c r="J7" s="5">
        <v>350</v>
      </c>
      <c r="K7" s="5">
        <v>491.06</v>
      </c>
      <c r="L7" s="5">
        <v>155.9</v>
      </c>
      <c r="M7" s="5">
        <v>4010.68</v>
      </c>
      <c r="N7" s="5">
        <v>12</v>
      </c>
      <c r="O7" s="5">
        <v>856.6</v>
      </c>
      <c r="P7" s="6">
        <v>7695</v>
      </c>
    </row>
    <row r="8" spans="3:16" x14ac:dyDescent="0.25">
      <c r="C8" s="18">
        <v>100</v>
      </c>
      <c r="D8" s="5">
        <v>19</v>
      </c>
      <c r="E8" s="5">
        <v>33.5</v>
      </c>
      <c r="F8" s="5"/>
      <c r="G8" s="5"/>
      <c r="H8" s="5"/>
      <c r="I8" s="5">
        <v>5.99</v>
      </c>
      <c r="J8" s="5"/>
      <c r="K8" s="5">
        <v>273.32</v>
      </c>
      <c r="L8" s="5">
        <v>62.5</v>
      </c>
      <c r="M8" s="5"/>
      <c r="N8" s="5">
        <v>246.65</v>
      </c>
      <c r="O8" s="5"/>
      <c r="P8" s="6"/>
    </row>
    <row r="9" spans="3:16" x14ac:dyDescent="0.25">
      <c r="C9" s="18">
        <v>100</v>
      </c>
      <c r="D9" s="5"/>
      <c r="E9" s="5"/>
      <c r="F9" s="5"/>
      <c r="G9" s="5"/>
      <c r="H9" s="5"/>
      <c r="I9" s="5">
        <v>40</v>
      </c>
      <c r="J9" s="5"/>
      <c r="K9" s="5">
        <v>3</v>
      </c>
      <c r="L9" s="5">
        <v>2864.43</v>
      </c>
      <c r="M9" s="5"/>
      <c r="N9" s="5">
        <v>2779.2</v>
      </c>
      <c r="O9" s="5"/>
      <c r="P9" s="6"/>
    </row>
    <row r="10" spans="3:16" x14ac:dyDescent="0.25">
      <c r="C10" s="18">
        <v>100</v>
      </c>
      <c r="D10" s="5"/>
      <c r="E10" s="5"/>
      <c r="F10" s="5"/>
      <c r="G10" s="5"/>
      <c r="H10" s="5"/>
      <c r="I10" s="5">
        <v>25</v>
      </c>
      <c r="J10" s="5"/>
      <c r="K10" s="5"/>
      <c r="L10" s="5">
        <v>257.60000000000002</v>
      </c>
      <c r="M10" s="5"/>
      <c r="N10" s="5">
        <v>147.36000000000001</v>
      </c>
      <c r="O10" s="5"/>
      <c r="P10" s="6"/>
    </row>
    <row r="11" spans="3:16" x14ac:dyDescent="0.25">
      <c r="C11" s="18">
        <v>100</v>
      </c>
      <c r="D11" s="5"/>
      <c r="E11" s="5"/>
      <c r="F11" s="5"/>
      <c r="G11" s="5"/>
      <c r="H11" s="5"/>
      <c r="I11" s="5">
        <v>5</v>
      </c>
      <c r="J11" s="5"/>
      <c r="K11" s="5"/>
      <c r="L11" s="5">
        <v>578.72</v>
      </c>
      <c r="M11" s="5"/>
      <c r="N11" s="5"/>
      <c r="O11" s="5"/>
      <c r="P11" s="6"/>
    </row>
    <row r="12" spans="3:16" x14ac:dyDescent="0.25">
      <c r="C12" s="18">
        <v>100</v>
      </c>
      <c r="D12" s="5"/>
      <c r="E12" s="5"/>
      <c r="F12" s="5"/>
      <c r="G12" s="5"/>
      <c r="H12" s="5"/>
      <c r="I12" s="5">
        <v>17.5</v>
      </c>
      <c r="J12" s="5"/>
      <c r="K12" s="5"/>
      <c r="L12" s="5">
        <v>20</v>
      </c>
      <c r="M12" s="5"/>
      <c r="N12" s="5"/>
      <c r="O12" s="5"/>
      <c r="P12" s="6"/>
    </row>
    <row r="13" spans="3:16" x14ac:dyDescent="0.25">
      <c r="C13" s="18">
        <v>130</v>
      </c>
      <c r="D13" s="5"/>
      <c r="E13" s="5"/>
      <c r="F13" s="5"/>
      <c r="G13" s="5"/>
      <c r="H13" s="5"/>
      <c r="I13" s="5">
        <v>69.5</v>
      </c>
      <c r="J13" s="5"/>
      <c r="K13" s="5"/>
      <c r="L13" s="5"/>
      <c r="M13" s="5"/>
      <c r="N13" s="5"/>
      <c r="O13" s="5"/>
      <c r="P13" s="6"/>
    </row>
    <row r="14" spans="3:16" x14ac:dyDescent="0.25">
      <c r="C14" s="18">
        <v>100</v>
      </c>
      <c r="D14" s="5"/>
      <c r="E14" s="5"/>
      <c r="F14" s="5"/>
      <c r="G14" s="5"/>
      <c r="H14" s="5"/>
      <c r="I14" s="5">
        <v>36</v>
      </c>
      <c r="J14" s="5"/>
      <c r="K14" s="5"/>
      <c r="L14" s="5"/>
      <c r="M14" s="5"/>
      <c r="N14" s="5"/>
      <c r="O14" s="5"/>
      <c r="P14" s="6"/>
    </row>
    <row r="15" spans="3:16" x14ac:dyDescent="0.25">
      <c r="C15" s="4"/>
      <c r="D15" s="5"/>
      <c r="E15" s="5"/>
      <c r="F15" s="5"/>
      <c r="G15" s="5"/>
      <c r="H15" s="5"/>
      <c r="I15" s="5">
        <v>48.19</v>
      </c>
      <c r="J15" s="5"/>
      <c r="K15" s="5"/>
      <c r="L15" s="5"/>
      <c r="M15" s="5"/>
      <c r="N15" s="5"/>
      <c r="O15" s="5"/>
      <c r="P15" s="6"/>
    </row>
    <row r="16" spans="3:16" x14ac:dyDescent="0.25">
      <c r="C16" s="4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6"/>
    </row>
    <row r="17" spans="3:16" x14ac:dyDescent="0.25"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6"/>
    </row>
    <row r="18" spans="3:16" x14ac:dyDescent="0.25">
      <c r="C18" s="4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6"/>
    </row>
    <row r="19" spans="3:16" x14ac:dyDescent="0.25">
      <c r="C19" s="4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6"/>
    </row>
    <row r="20" spans="3:16" x14ac:dyDescent="0.25">
      <c r="C20" s="4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6"/>
    </row>
    <row r="21" spans="3:16" x14ac:dyDescent="0.25">
      <c r="C21" s="4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6"/>
    </row>
    <row r="22" spans="3:16" x14ac:dyDescent="0.25">
      <c r="C22" s="4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6"/>
    </row>
    <row r="23" spans="3:16" x14ac:dyDescent="0.25">
      <c r="C23" s="4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6"/>
    </row>
    <row r="24" spans="3:16" x14ac:dyDescent="0.25">
      <c r="C24" s="4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6"/>
    </row>
    <row r="25" spans="3:16" x14ac:dyDescent="0.25">
      <c r="C25" s="4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6"/>
    </row>
    <row r="26" spans="3:16" x14ac:dyDescent="0.25">
      <c r="C26" s="4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6"/>
    </row>
    <row r="27" spans="3:16" x14ac:dyDescent="0.25"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6"/>
    </row>
    <row r="28" spans="3:16" x14ac:dyDescent="0.25">
      <c r="C28" s="4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</row>
    <row r="29" spans="3:16" x14ac:dyDescent="0.25">
      <c r="C29" s="4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6"/>
    </row>
    <row r="30" spans="3:16" ht="15.75" thickBot="1" x14ac:dyDescent="0.3">
      <c r="C30" s="7">
        <f t="shared" ref="C30:O30" si="0">IF(SUM(C7:C29)&gt;0, SUM(C7:C29),"")</f>
        <v>800</v>
      </c>
      <c r="D30" s="8">
        <f t="shared" si="0"/>
        <v>52</v>
      </c>
      <c r="E30" s="8">
        <f t="shared" si="0"/>
        <v>67.5</v>
      </c>
      <c r="F30" s="8" t="str">
        <f t="shared" si="0"/>
        <v/>
      </c>
      <c r="G30" s="8" t="str">
        <f t="shared" si="0"/>
        <v/>
      </c>
      <c r="H30" s="8" t="str">
        <f t="shared" si="0"/>
        <v/>
      </c>
      <c r="I30" s="8">
        <f t="shared" si="0"/>
        <v>254.07999999999998</v>
      </c>
      <c r="J30" s="8">
        <f t="shared" si="0"/>
        <v>350</v>
      </c>
      <c r="K30" s="8">
        <f t="shared" si="0"/>
        <v>767.38</v>
      </c>
      <c r="L30" s="8">
        <f t="shared" si="0"/>
        <v>3939.1499999999996</v>
      </c>
      <c r="M30" s="8">
        <f t="shared" si="0"/>
        <v>4010.68</v>
      </c>
      <c r="N30" s="8">
        <f t="shared" si="0"/>
        <v>3185.21</v>
      </c>
      <c r="O30" s="11">
        <f t="shared" si="0"/>
        <v>856.6</v>
      </c>
      <c r="P30" s="12"/>
    </row>
    <row r="31" spans="3:16" ht="16.5" thickTop="1" thickBot="1" x14ac:dyDescent="0.3">
      <c r="N31" s="10" t="s">
        <v>14</v>
      </c>
      <c r="O31" s="15">
        <f>SUM(C30:O30)</f>
        <v>14282.6</v>
      </c>
      <c r="P31" s="13">
        <f>IF(SUM(P7:P29)&gt;0, SUM(P7:P29),"")</f>
        <v>7695</v>
      </c>
    </row>
    <row r="32" spans="3:16" ht="16.5" thickTop="1" thickBot="1" x14ac:dyDescent="0.3">
      <c r="O32" s="14" t="s">
        <v>15</v>
      </c>
      <c r="P32" s="9">
        <f>SUM(O31:P31)</f>
        <v>21977.599999999999</v>
      </c>
    </row>
    <row r="33" ht="15.75" thickTop="1" x14ac:dyDescent="0.25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C4:P33"/>
  <sheetViews>
    <sheetView topLeftCell="A4" workbookViewId="0">
      <selection activeCell="E20" sqref="E20"/>
    </sheetView>
  </sheetViews>
  <sheetFormatPr defaultRowHeight="15" x14ac:dyDescent="0.25"/>
  <cols>
    <col min="3" max="3" width="19.5703125" bestFit="1" customWidth="1"/>
    <col min="4" max="4" width="10.7109375" customWidth="1"/>
    <col min="5" max="5" width="8.7109375" bestFit="1" customWidth="1"/>
    <col min="6" max="6" width="5.7109375" bestFit="1" customWidth="1"/>
    <col min="7" max="7" width="6.140625" bestFit="1" customWidth="1"/>
    <col min="8" max="8" width="6" bestFit="1" customWidth="1"/>
    <col min="12" max="14" width="10.7109375" bestFit="1" customWidth="1"/>
    <col min="15" max="16" width="11.7109375" bestFit="1" customWidth="1"/>
  </cols>
  <sheetData>
    <row r="4" spans="3:16" ht="15.75" thickBot="1" x14ac:dyDescent="0.3"/>
    <row r="5" spans="3:16" ht="90.75" thickTop="1" x14ac:dyDescent="0.25">
      <c r="C5" s="1" t="s">
        <v>0</v>
      </c>
      <c r="D5" s="2" t="s">
        <v>2</v>
      </c>
      <c r="E5" s="2" t="s">
        <v>1</v>
      </c>
      <c r="F5" s="2" t="s">
        <v>3</v>
      </c>
      <c r="G5" s="2" t="s">
        <v>4</v>
      </c>
      <c r="H5" s="2" t="s">
        <v>5</v>
      </c>
      <c r="I5" s="2" t="s">
        <v>6</v>
      </c>
      <c r="J5" s="2" t="s">
        <v>7</v>
      </c>
      <c r="K5" s="2" t="s">
        <v>8</v>
      </c>
      <c r="L5" s="2" t="s">
        <v>9</v>
      </c>
      <c r="M5" s="2" t="s">
        <v>10</v>
      </c>
      <c r="N5" s="2" t="s">
        <v>11</v>
      </c>
      <c r="O5" s="2" t="s">
        <v>12</v>
      </c>
      <c r="P5" s="3" t="s">
        <v>13</v>
      </c>
    </row>
    <row r="6" spans="3:16" x14ac:dyDescent="0.25">
      <c r="C6" s="4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7"/>
    </row>
    <row r="7" spans="3:16" x14ac:dyDescent="0.25">
      <c r="C7" s="4" t="e">
        <f>IF(Plan1!#REF!="","",CONCATENATE(PROPER(TEXT(Plan1!#REF!,"ddd dd/mm")),"   ",TEXT(Plan1!C7,"R$ #.##0,00")))</f>
        <v>#REF!</v>
      </c>
      <c r="D7" s="5">
        <v>33</v>
      </c>
      <c r="E7" s="5">
        <v>34</v>
      </c>
      <c r="F7" s="5"/>
      <c r="G7" s="5"/>
      <c r="H7" s="5"/>
      <c r="I7" s="5">
        <v>6.9</v>
      </c>
      <c r="J7" s="5">
        <v>350</v>
      </c>
      <c r="K7" s="5">
        <v>491.06</v>
      </c>
      <c r="L7" s="5">
        <v>155.9</v>
      </c>
      <c r="M7" s="5">
        <v>4010.68</v>
      </c>
      <c r="N7" s="5">
        <v>12</v>
      </c>
      <c r="O7" s="5">
        <v>856.6</v>
      </c>
      <c r="P7" s="6">
        <v>7695</v>
      </c>
    </row>
    <row r="8" spans="3:16" x14ac:dyDescent="0.25">
      <c r="C8" s="4" t="e">
        <f>IF(Plan1!#REF!="","",CONCATENATE(PROPER(TEXT(Plan1!#REF!,"ddd dd/mm")),"   ",TEXT(Plan1!C8,"R$ #.##0,00")))</f>
        <v>#REF!</v>
      </c>
      <c r="D8" s="5">
        <v>19</v>
      </c>
      <c r="E8" s="5">
        <v>33.5</v>
      </c>
      <c r="F8" s="5"/>
      <c r="G8" s="5"/>
      <c r="H8" s="5"/>
      <c r="I8" s="5">
        <v>5.99</v>
      </c>
      <c r="J8" s="5"/>
      <c r="K8" s="5">
        <v>273.32</v>
      </c>
      <c r="L8" s="5">
        <v>62.5</v>
      </c>
      <c r="M8" s="5"/>
      <c r="N8" s="5">
        <v>246.65</v>
      </c>
      <c r="O8" s="5"/>
      <c r="P8" s="6"/>
    </row>
    <row r="9" spans="3:16" x14ac:dyDescent="0.25">
      <c r="C9" s="4" t="e">
        <f>IF(Plan1!#REF!="","",CONCATENATE(PROPER(TEXT(Plan1!#REF!,"ddd dd/mm")),"   ",TEXT(Plan1!C9,"R$ #.##0,00")))</f>
        <v>#REF!</v>
      </c>
      <c r="D9" s="5"/>
      <c r="E9" s="5"/>
      <c r="F9" s="5"/>
      <c r="G9" s="5"/>
      <c r="H9" s="5"/>
      <c r="I9" s="5">
        <v>40</v>
      </c>
      <c r="J9" s="5"/>
      <c r="K9" s="5">
        <v>3</v>
      </c>
      <c r="L9" s="5">
        <v>2864.43</v>
      </c>
      <c r="M9" s="5"/>
      <c r="N9" s="5">
        <v>2779.2</v>
      </c>
      <c r="O9" s="5"/>
      <c r="P9" s="6"/>
    </row>
    <row r="10" spans="3:16" x14ac:dyDescent="0.25">
      <c r="C10" s="4" t="e">
        <f>IF(Plan1!#REF!="","",CONCATENATE(PROPER(TEXT(Plan1!#REF!,"ddd dd/mm")),"   ",TEXT(Plan1!C10,"R$ #.##0,00")))</f>
        <v>#REF!</v>
      </c>
      <c r="D10" s="5"/>
      <c r="E10" s="5"/>
      <c r="F10" s="5"/>
      <c r="G10" s="5"/>
      <c r="H10" s="5"/>
      <c r="I10" s="5">
        <v>25</v>
      </c>
      <c r="J10" s="5"/>
      <c r="K10" s="5"/>
      <c r="L10" s="5">
        <v>257.60000000000002</v>
      </c>
      <c r="M10" s="5"/>
      <c r="N10" s="5">
        <v>147.36000000000001</v>
      </c>
      <c r="O10" s="5"/>
      <c r="P10" s="6"/>
    </row>
    <row r="11" spans="3:16" x14ac:dyDescent="0.25">
      <c r="C11" s="4" t="e">
        <f>IF(Plan1!#REF!="","",CONCATENATE(PROPER(TEXT(Plan1!#REF!,"ddd dd/mm")),"   ",TEXT(Plan1!C11,"R$ #.##0,00")))</f>
        <v>#REF!</v>
      </c>
      <c r="D11" s="5"/>
      <c r="E11" s="5"/>
      <c r="F11" s="5"/>
      <c r="G11" s="5"/>
      <c r="H11" s="5"/>
      <c r="I11" s="5">
        <v>5</v>
      </c>
      <c r="J11" s="5"/>
      <c r="K11" s="5"/>
      <c r="L11" s="5">
        <v>578.72</v>
      </c>
      <c r="M11" s="5"/>
      <c r="N11" s="5"/>
      <c r="O11" s="5"/>
      <c r="P11" s="6"/>
    </row>
    <row r="12" spans="3:16" x14ac:dyDescent="0.25">
      <c r="C12" s="4" t="e">
        <f>IF(Plan1!#REF!="","",CONCATENATE(PROPER(TEXT(Plan1!#REF!,"ddd dd/mm")),"   ",TEXT(Plan1!C12,"R$ #.##0,00")))</f>
        <v>#REF!</v>
      </c>
      <c r="D12" s="5"/>
      <c r="E12" s="5"/>
      <c r="F12" s="5"/>
      <c r="G12" s="5"/>
      <c r="H12" s="5"/>
      <c r="I12" s="5">
        <v>17.5</v>
      </c>
      <c r="J12" s="5"/>
      <c r="K12" s="5"/>
      <c r="L12" s="5">
        <v>20</v>
      </c>
      <c r="M12" s="5"/>
      <c r="N12" s="5"/>
      <c r="O12" s="5"/>
      <c r="P12" s="6"/>
    </row>
    <row r="13" spans="3:16" x14ac:dyDescent="0.25">
      <c r="C13" s="4" t="e">
        <f>IF(Plan1!#REF!="","",CONCATENATE(PROPER(TEXT(Plan1!#REF!,"ddd dd/mm")),"   ",TEXT(Plan1!C13,"R$ #.##0,00")))</f>
        <v>#REF!</v>
      </c>
      <c r="D13" s="5"/>
      <c r="E13" s="5"/>
      <c r="F13" s="5"/>
      <c r="G13" s="5"/>
      <c r="H13" s="5"/>
      <c r="I13" s="5">
        <v>69.5</v>
      </c>
      <c r="J13" s="5"/>
      <c r="K13" s="5"/>
      <c r="L13" s="5"/>
      <c r="M13" s="5"/>
      <c r="N13" s="5"/>
      <c r="O13" s="5"/>
      <c r="P13" s="6"/>
    </row>
    <row r="14" spans="3:16" x14ac:dyDescent="0.25">
      <c r="C14" s="4" t="e">
        <f>IF(Plan1!#REF!="","",CONCATENATE(PROPER(TEXT(Plan1!#REF!,"ddd dd/mm")),"   ",TEXT(Plan1!C14,"R$ #.##0,00")))</f>
        <v>#REF!</v>
      </c>
      <c r="D14" s="5"/>
      <c r="E14" s="5"/>
      <c r="F14" s="5"/>
      <c r="G14" s="5"/>
      <c r="H14" s="5"/>
      <c r="I14" s="5">
        <v>36</v>
      </c>
      <c r="J14" s="5"/>
      <c r="K14" s="5"/>
      <c r="L14" s="5"/>
      <c r="M14" s="5"/>
      <c r="N14" s="5"/>
      <c r="O14" s="5"/>
      <c r="P14" s="6"/>
    </row>
    <row r="15" spans="3:16" x14ac:dyDescent="0.25">
      <c r="C15" s="4" t="e">
        <f>IF(Plan1!#REF!="","",CONCATENATE(PROPER(TEXT(Plan1!#REF!,"ddd dd/mm")),"   ",TEXT(Plan1!C15,"R$ #.##0,00")))</f>
        <v>#REF!</v>
      </c>
      <c r="D15" s="5"/>
      <c r="E15" s="5"/>
      <c r="F15" s="5"/>
      <c r="G15" s="5"/>
      <c r="H15" s="5"/>
      <c r="I15" s="5">
        <v>48.19</v>
      </c>
      <c r="J15" s="5"/>
      <c r="K15" s="5"/>
      <c r="L15" s="5"/>
      <c r="M15" s="5"/>
      <c r="N15" s="5"/>
      <c r="O15" s="5"/>
      <c r="P15" s="6"/>
    </row>
    <row r="16" spans="3:16" x14ac:dyDescent="0.25">
      <c r="C16" s="4" t="e">
        <f>IF(Plan1!#REF!="","",CONCATENATE(PROPER(TEXT(Plan1!#REF!,"ddd dd/mm")),"   ",TEXT(Plan1!C16,"R$ #.##0,00")))</f>
        <v>#REF!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6"/>
    </row>
    <row r="17" spans="3:16" x14ac:dyDescent="0.25">
      <c r="C17" s="4" t="e">
        <f>IF(Plan1!#REF!="","",CONCATENATE(PROPER(TEXT(Plan1!#REF!,"ddd dd/mm")),"   ",TEXT(Plan1!C17,"R$ #.##0,00")))</f>
        <v>#REF!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6"/>
    </row>
    <row r="18" spans="3:16" x14ac:dyDescent="0.25">
      <c r="C18" s="4" t="e">
        <f>IF(Plan1!#REF!="","",CONCATENATE(PROPER(TEXT(Plan1!#REF!,"ddd dd/mm")),"   ",TEXT(Plan1!C18,"R$ #.##0,00")))</f>
        <v>#REF!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6"/>
    </row>
    <row r="19" spans="3:16" x14ac:dyDescent="0.25">
      <c r="C19" s="4" t="e">
        <f>IF(Plan1!#REF!="","",CONCATENATE(PROPER(TEXT(Plan1!#REF!,"ddd dd/mm")),"   ",TEXT(Plan1!C19,"R$ #.##0,00")))</f>
        <v>#REF!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6"/>
    </row>
    <row r="20" spans="3:16" x14ac:dyDescent="0.25">
      <c r="C20" s="4" t="e">
        <f>IF(Plan1!#REF!="","",CONCATENATE(PROPER(TEXT(Plan1!#REF!,"ddd dd/mm")),"   ",TEXT(Plan1!C20,"R$ #.##0,00")))</f>
        <v>#REF!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6"/>
    </row>
    <row r="21" spans="3:16" x14ac:dyDescent="0.25">
      <c r="C21" s="4" t="e">
        <f>IF(Plan1!#REF!="","",CONCATENATE(PROPER(TEXT(Plan1!#REF!,"ddd dd/mm")),"   ",TEXT(Plan1!C21,"R$ #.##0,00")))</f>
        <v>#REF!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6"/>
    </row>
    <row r="22" spans="3:16" x14ac:dyDescent="0.25">
      <c r="C22" s="4" t="e">
        <f>IF(Plan1!#REF!="","",CONCATENATE(PROPER(TEXT(Plan1!#REF!,"ddd dd/mm")),"   ",TEXT(Plan1!C22,"R$ #.##0,00")))</f>
        <v>#REF!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6"/>
    </row>
    <row r="23" spans="3:16" x14ac:dyDescent="0.25">
      <c r="C23" s="4" t="e">
        <f>IF(Plan1!#REF!="","",CONCATENATE(PROPER(TEXT(Plan1!#REF!,"ddd dd/mm")),"   ",TEXT(Plan1!C23,"R$ #.##0,00")))</f>
        <v>#REF!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6"/>
    </row>
    <row r="24" spans="3:16" x14ac:dyDescent="0.25">
      <c r="C24" s="4" t="e">
        <f>IF(Plan1!#REF!="","",CONCATENATE(PROPER(TEXT(Plan1!#REF!,"ddd dd/mm")),"   ",TEXT(Plan1!C24,"R$ #.##0,00")))</f>
        <v>#REF!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6"/>
    </row>
    <row r="25" spans="3:16" x14ac:dyDescent="0.25">
      <c r="C25" s="4" t="e">
        <f>IF(Plan1!#REF!="","",CONCATENATE(PROPER(TEXT(Plan1!#REF!,"ddd dd/mm")),"   ",TEXT(Plan1!C25,"R$ #.##0,00")))</f>
        <v>#REF!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6"/>
    </row>
    <row r="26" spans="3:16" x14ac:dyDescent="0.25">
      <c r="C26" s="4" t="e">
        <f>IF(Plan1!#REF!="","",CONCATENATE(PROPER(TEXT(Plan1!#REF!,"ddd dd/mm")),"   ",TEXT(Plan1!C26,"R$ #.##0,00")))</f>
        <v>#REF!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6"/>
    </row>
    <row r="27" spans="3:16" x14ac:dyDescent="0.25">
      <c r="C27" s="4" t="e">
        <f>IF(Plan1!#REF!="","",CONCATENATE(PROPER(TEXT(Plan1!#REF!,"ddd dd/mm")),"   ",TEXT(Plan1!C27,"R$ #.##0,00")))</f>
        <v>#REF!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6"/>
    </row>
    <row r="28" spans="3:16" x14ac:dyDescent="0.25">
      <c r="C28" s="4" t="e">
        <f>IF(Plan1!#REF!="","",CONCATENATE(PROPER(TEXT(Plan1!#REF!,"ddd dd/mm")),"   ",TEXT(Plan1!C28,"R$ #.##0,00")))</f>
        <v>#REF!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</row>
    <row r="29" spans="3:16" x14ac:dyDescent="0.25">
      <c r="C29" s="4" t="e">
        <f>IF(Plan1!#REF!="","",CONCATENATE(PROPER(TEXT(Plan1!#REF!,"ddd dd/mm")),"   ",TEXT(Plan1!C29,"R$ #.##0,00")))</f>
        <v>#REF!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6"/>
    </row>
    <row r="30" spans="3:16" ht="15.75" thickBot="1" x14ac:dyDescent="0.3">
      <c r="C30" s="7" t="e">
        <f t="shared" ref="C30:O30" si="0">IF(SUM(C7:C29)&gt;0, SUM(C7:C29),"")</f>
        <v>#REF!</v>
      </c>
      <c r="D30" s="8">
        <f t="shared" si="0"/>
        <v>52</v>
      </c>
      <c r="E30" s="8">
        <f t="shared" si="0"/>
        <v>67.5</v>
      </c>
      <c r="F30" s="8" t="str">
        <f t="shared" si="0"/>
        <v/>
      </c>
      <c r="G30" s="8" t="str">
        <f t="shared" si="0"/>
        <v/>
      </c>
      <c r="H30" s="8" t="str">
        <f t="shared" si="0"/>
        <v/>
      </c>
      <c r="I30" s="8">
        <f t="shared" si="0"/>
        <v>254.07999999999998</v>
      </c>
      <c r="J30" s="8">
        <f t="shared" si="0"/>
        <v>350</v>
      </c>
      <c r="K30" s="8">
        <f t="shared" si="0"/>
        <v>767.38</v>
      </c>
      <c r="L30" s="8">
        <f t="shared" si="0"/>
        <v>3939.1499999999996</v>
      </c>
      <c r="M30" s="8">
        <f t="shared" si="0"/>
        <v>4010.68</v>
      </c>
      <c r="N30" s="8">
        <f t="shared" si="0"/>
        <v>3185.21</v>
      </c>
      <c r="O30" s="11">
        <f t="shared" si="0"/>
        <v>856.6</v>
      </c>
      <c r="P30" s="12"/>
    </row>
    <row r="31" spans="3:16" ht="16.5" thickTop="1" thickBot="1" x14ac:dyDescent="0.3">
      <c r="N31" s="10" t="s">
        <v>14</v>
      </c>
      <c r="O31" s="15" t="e">
        <f>SUM(C30:O30)</f>
        <v>#REF!</v>
      </c>
      <c r="P31" s="13">
        <f>IF(SUM(P7:P29)&gt;0, SUM(P7:P29),"")</f>
        <v>7695</v>
      </c>
    </row>
    <row r="32" spans="3:16" ht="16.5" thickTop="1" thickBot="1" x14ac:dyDescent="0.3">
      <c r="O32" s="14" t="s">
        <v>15</v>
      </c>
      <c r="P32" s="9" t="e">
        <f>SUM(O31:P31)</f>
        <v>#REF!</v>
      </c>
    </row>
    <row r="33" ht="15.75" thickTop="1" x14ac:dyDescent="0.25"/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2022-07-09T01:31:20Z</dcterms:created>
  <dcterms:modified xsi:type="dcterms:W3CDTF">2022-07-10T18:59:12Z</dcterms:modified>
</cp:coreProperties>
</file>